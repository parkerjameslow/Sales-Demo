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min Queue" sheetId="1" state="visible" r:id="rId1"/>
  </sheets>
  <definedNames>
    <definedName name="_xlnm._FilterDatabase" localSheetId="0" hidden="1">'Admin Queue'!$A$15:$I$76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1F2A44"/>
      <sz val="20"/>
    </font>
    <font>
      <color rgb="006B7A90"/>
      <sz val="10"/>
    </font>
    <font>
      <b val="1"/>
      <color rgb="002F5BEA"/>
      <sz val="26"/>
    </font>
    <font>
      <b val="1"/>
      <color rgb="006B7A90"/>
      <sz val="9"/>
    </font>
    <font>
      <color rgb="006B7A90"/>
      <sz val="8"/>
    </font>
    <font>
      <b val="1"/>
      <color rgb="00E0892B"/>
      <sz val="26"/>
    </font>
    <font>
      <b val="1"/>
      <color rgb="003BA9C4"/>
      <sz val="26"/>
    </font>
    <font>
      <b val="1"/>
      <color rgb="003FA34D"/>
      <sz val="26"/>
    </font>
    <font>
      <b val="1"/>
      <color rgb="00D64545"/>
      <sz val="26"/>
    </font>
    <font>
      <b val="1"/>
      <color rgb="001F2A44"/>
      <sz val="22"/>
    </font>
    <font>
      <b val="1"/>
      <color rgb="001F2A44"/>
      <sz val="10"/>
    </font>
    <font>
      <color rgb="001F2A44"/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2F5BEA"/>
      </patternFill>
    </fill>
    <fill>
      <patternFill patternType="solid">
        <fgColor rgb="00FFFFFF"/>
      </patternFill>
    </fill>
    <fill>
      <patternFill patternType="solid">
        <fgColor rgb="00E0892B"/>
      </patternFill>
    </fill>
    <fill>
      <patternFill patternType="solid">
        <fgColor rgb="003BA9C4"/>
      </patternFill>
    </fill>
    <fill>
      <patternFill patternType="solid">
        <fgColor rgb="003FA34D"/>
      </patternFill>
    </fill>
    <fill>
      <patternFill patternType="solid">
        <fgColor rgb="00D64545"/>
      </patternFill>
    </fill>
    <fill>
      <patternFill patternType="solid">
        <fgColor rgb="001F2A44"/>
      </patternFill>
    </fill>
    <fill>
      <patternFill patternType="solid">
        <fgColor rgb="00F2F5FA"/>
      </patternFill>
    </fill>
  </fills>
  <borders count="14">
    <border>
      <left/>
      <right/>
      <top/>
      <bottom/>
      <diagonal/>
    </border>
    <border>
      <left style="thin">
        <color rgb="00D8DEE9"/>
      </left>
      <right/>
      <top style="thin">
        <color rgb="00D8DEE9"/>
      </top>
      <bottom/>
    </border>
    <border>
      <left style="thin">
        <color rgb="00D8DEE9"/>
      </left>
      <right/>
      <top/>
      <bottom/>
    </border>
    <border>
      <left style="thin">
        <color rgb="00D8DEE9"/>
      </left>
      <right/>
      <top/>
      <bottom style="thin">
        <color rgb="00D8DEE9"/>
      </bottom>
    </border>
    <border>
      <left/>
      <right style="thin">
        <color rgb="00D8DEE9"/>
      </right>
      <top style="thin">
        <color rgb="00D8DEE9"/>
      </top>
      <bottom/>
    </border>
    <border>
      <left/>
      <right style="thin">
        <color rgb="00D8DEE9"/>
      </right>
      <top/>
      <bottom/>
    </border>
    <border>
      <left/>
      <right style="thin">
        <color rgb="00D8DEE9"/>
      </right>
      <top/>
      <bottom style="thin">
        <color rgb="00D8DEE9"/>
      </bottom>
    </border>
    <border>
      <left style="thin">
        <color rgb="00D8DEE9"/>
      </left>
      <right style="thin">
        <color rgb="00D8DEE9"/>
      </right>
      <top style="thin">
        <color rgb="00D8DEE9"/>
      </top>
      <bottom/>
    </border>
    <border>
      <left style="thin">
        <color rgb="00D8DEE9"/>
      </left>
      <right style="thin">
        <color rgb="00D8DEE9"/>
      </right>
      <top/>
      <bottom/>
    </border>
    <border>
      <left style="thin">
        <color rgb="00D8DEE9"/>
      </left>
      <right style="thin">
        <color rgb="00D8DEE9"/>
      </right>
      <top/>
      <bottom style="thin">
        <color rgb="00D8DEE9"/>
      </bottom>
    </border>
    <border>
      <left/>
      <right/>
      <top style="thin">
        <color rgb="00D8DEE9"/>
      </top>
      <bottom/>
    </border>
    <border>
      <left/>
      <right/>
      <top/>
      <bottom/>
    </border>
    <border>
      <left/>
      <right/>
      <top/>
      <bottom style="thin">
        <color rgb="00D8DEE9"/>
      </bottom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7" pivotButton="0" quotePrefix="0" xfId="0"/>
    <xf numFmtId="0" fontId="3" fillId="3" borderId="2" applyAlignment="1" pivotButton="0" quotePrefix="0" xfId="0">
      <alignment horizontal="left" vertical="center" indent="1"/>
    </xf>
    <xf numFmtId="0" fontId="0" fillId="3" borderId="5" pivotButton="0" quotePrefix="0" xfId="0"/>
    <xf numFmtId="0" fontId="6" fillId="3" borderId="2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4" fillId="3" borderId="2" applyAlignment="1" pivotButton="0" quotePrefix="0" xfId="0">
      <alignment horizontal="left" vertical="center" indent="1"/>
    </xf>
    <xf numFmtId="0" fontId="4" fillId="3" borderId="8" applyAlignment="1" pivotButton="0" quotePrefix="0" xfId="0">
      <alignment horizontal="left" vertical="center" indent="1"/>
    </xf>
    <xf numFmtId="0" fontId="5" fillId="3" borderId="3" applyAlignment="1" pivotButton="0" quotePrefix="0" xfId="0">
      <alignment horizontal="left" vertical="center" indent="1"/>
    </xf>
    <xf numFmtId="0" fontId="0" fillId="3" borderId="6" pivotButton="0" quotePrefix="0" xfId="0"/>
    <xf numFmtId="0" fontId="5" fillId="3" borderId="9" applyAlignment="1" pivotButton="0" quotePrefix="0" xfId="0">
      <alignment horizontal="left" vertical="center" indent="1"/>
    </xf>
    <xf numFmtId="0" fontId="0" fillId="8" borderId="1" pivotButton="0" quotePrefix="0" xfId="0"/>
    <xf numFmtId="0" fontId="0" fillId="0" borderId="10" pivotButton="0" quotePrefix="0" xfId="0"/>
    <xf numFmtId="0" fontId="10" fillId="3" borderId="2" applyAlignment="1" pivotButton="0" quotePrefix="0" xfId="0">
      <alignment horizontal="left" vertical="center" indent="1"/>
    </xf>
    <xf numFmtId="0" fontId="0" fillId="3" borderId="11" pivotButton="0" quotePrefix="0" xfId="0"/>
    <xf numFmtId="0" fontId="0" fillId="3" borderId="12" pivotButton="0" quotePrefix="0" xfId="0"/>
    <xf numFmtId="0" fontId="11" fillId="9" borderId="13" applyAlignment="1" pivotButton="0" quotePrefix="0" xfId="0">
      <alignment horizontal="left" vertical="center"/>
    </xf>
    <xf numFmtId="0" fontId="11" fillId="0" borderId="13" applyAlignment="1" pivotButton="0" quotePrefix="0" xfId="0">
      <alignment vertical="center" wrapText="1"/>
    </xf>
    <xf numFmtId="0" fontId="12" fillId="0" borderId="13" applyAlignment="1" pivotButton="0" quotePrefix="0" xfId="0">
      <alignment vertical="center"/>
    </xf>
    <xf numFmtId="0" fontId="13" fillId="0" borderId="13" applyAlignment="1" pivotButton="0" quotePrefix="0" xfId="0">
      <alignment horizontal="center" vertical="center"/>
    </xf>
    <xf numFmtId="0" fontId="0" fillId="0" borderId="13" pivotButton="0" quotePrefix="0" xfId="0"/>
  </cellXfs>
  <cellStyles count="1">
    <cellStyle name="Normal" xfId="0" builtinId="0" hidden="0"/>
  </cellStyles>
  <dxfs count="16">
    <dxf>
      <font>
        <b val="1"/>
        <color rgb="00D64545"/>
        <sz val="22"/>
      </font>
      <fill>
        <patternFill patternType="solid">
          <fgColor rgb="00FFFFFF"/>
        </patternFill>
      </fill>
    </dxf>
    <dxf>
      <font>
        <b val="1"/>
        <color rgb="00E0892B"/>
        <sz val="22"/>
      </font>
      <fill>
        <patternFill patternType="solid">
          <fgColor rgb="00FFFFFF"/>
        </patternFill>
      </fill>
    </dxf>
    <dxf>
      <font>
        <b val="1"/>
        <color rgb="009A7B0A"/>
        <sz val="22"/>
      </font>
      <fill>
        <patternFill patternType="solid">
          <fgColor rgb="00FFFFFF"/>
        </patternFill>
      </fill>
    </dxf>
    <dxf>
      <font>
        <b val="1"/>
        <color rgb="003FA34D"/>
        <sz val="22"/>
      </font>
      <fill>
        <patternFill patternType="solid">
          <fgColor rgb="00FFFFFF"/>
        </patternFill>
      </fill>
    </dxf>
    <dxf>
      <fill>
        <patternFill patternType="solid">
          <fgColor rgb="00F7D7D7"/>
        </patternFill>
      </fill>
    </dxf>
    <dxf>
      <fill>
        <patternFill patternType="solid">
          <fgColor rgb="00FCE6CE"/>
        </patternFill>
      </fill>
    </dxf>
    <dxf>
      <fill>
        <patternFill patternType="solid">
          <fgColor rgb="00FFF1C9"/>
        </patternFill>
      </fill>
    </dxf>
    <dxf>
      <fill>
        <patternFill patternType="solid">
          <fgColor rgb="00DCEFDD"/>
        </patternFill>
      </fill>
    </dxf>
    <dxf>
      <font>
        <b val="1"/>
        <color rgb="006B7A90"/>
      </font>
      <fill>
        <patternFill patternType="solid">
          <fgColor rgb="00EDF0F5"/>
        </patternFill>
      </fill>
    </dxf>
    <dxf>
      <font>
        <b val="1"/>
        <color rgb="002F5BEA"/>
      </font>
      <fill>
        <patternFill patternType="solid">
          <fgColor rgb="00E3ECFF"/>
        </patternFill>
      </fill>
    </dxf>
    <dxf>
      <font>
        <b val="1"/>
        <color rgb="007C4DD6"/>
      </font>
      <fill>
        <patternFill patternType="solid">
          <fgColor rgb="00EEE6FB"/>
        </patternFill>
      </fill>
    </dxf>
    <dxf>
      <font>
        <b val="1"/>
        <color rgb="003BA9C4"/>
      </font>
      <fill>
        <patternFill patternType="solid">
          <fgColor rgb="00DFF3F7"/>
        </patternFill>
      </fill>
    </dxf>
    <dxf>
      <font>
        <b val="1"/>
        <color rgb="00E0892B"/>
      </font>
      <fill>
        <patternFill patternType="solid">
          <fgColor rgb="00FCEBD6"/>
        </patternFill>
      </fill>
    </dxf>
    <dxf>
      <font>
        <b val="1"/>
        <color rgb="003FA34D"/>
      </font>
      <fill>
        <patternFill patternType="solid">
          <fgColor rgb="00DCEFDD"/>
        </patternFill>
      </fill>
    </dxf>
    <dxf>
      <font>
        <b val="1"/>
        <color rgb="00D64545"/>
      </font>
      <fill>
        <patternFill patternType="solid">
          <fgColor rgb="00F7DDDD"/>
        </patternFill>
      </fill>
    </dxf>
    <dxf>
      <font>
        <b val="1"/>
        <color rgb="001F2A44"/>
      </font>
      <fill>
        <patternFill patternType="solid">
          <fgColor rgb="00E6E9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12" customWidth="1" min="4" max="4"/>
    <col width="16" customWidth="1" min="5" max="5"/>
    <col width="14" customWidth="1" min="6" max="6"/>
    <col width="16" customWidth="1" min="7" max="7"/>
    <col width="14" customWidth="1" min="8" max="8"/>
    <col width="30" customWidth="1" min="9" max="9"/>
  </cols>
  <sheetData>
    <row r="1" ht="28" customHeight="1">
      <c r="A1" s="1" t="inlineStr">
        <is>
          <t>Admin Queue</t>
        </is>
      </c>
    </row>
    <row r="2">
      <c r="A2" s="2" t="inlineStr">
        <is>
          <t>Requests waiting for your review. Set a Status to move a request through the pipeline.</t>
        </is>
      </c>
    </row>
    <row r="4" ht="5" customHeight="1">
      <c r="A4" s="3" t="n"/>
      <c r="B4" s="4" t="n"/>
      <c r="C4" s="5" t="n"/>
      <c r="D4" s="4" t="n"/>
      <c r="E4" s="6" t="n"/>
      <c r="F4" s="4" t="n"/>
      <c r="G4" s="7" t="n"/>
      <c r="H4" s="4" t="n"/>
      <c r="I4" s="8" t="n"/>
    </row>
    <row r="5" ht="34" customHeight="1">
      <c r="A5" s="9">
        <f>COUNTIF(E:E,"New")+COUNTIF(E:E,"In Review")</f>
        <v/>
      </c>
      <c r="B5" s="10" t="n"/>
      <c r="C5" s="11">
        <f>COUNTIF(E:E,"In Progress")</f>
        <v/>
      </c>
      <c r="D5" s="10" t="n"/>
      <c r="E5" s="12">
        <f>COUNTIF(E:E,"Scheduled")</f>
        <v/>
      </c>
      <c r="F5" s="10" t="n"/>
      <c r="G5" s="13">
        <f>COUNTIF(E:E,"Completed")</f>
        <v/>
      </c>
      <c r="H5" s="10" t="n"/>
      <c r="I5" s="14">
        <f>COUNTIF(D:D,"Critical")</f>
        <v/>
      </c>
    </row>
    <row r="6" ht="15" customHeight="1">
      <c r="A6" s="15" t="inlineStr">
        <is>
          <t>PENDING REVIEW</t>
        </is>
      </c>
      <c r="B6" s="10" t="n"/>
      <c r="C6" s="15" t="inlineStr">
        <is>
          <t>IN PROGRESS</t>
        </is>
      </c>
      <c r="D6" s="10" t="n"/>
      <c r="E6" s="15" t="inlineStr">
        <is>
          <t>SCHEDULED</t>
        </is>
      </c>
      <c r="F6" s="10" t="n"/>
      <c r="G6" s="15" t="inlineStr">
        <is>
          <t>COMPLETED</t>
        </is>
      </c>
      <c r="H6" s="10" t="n"/>
      <c r="I6" s="16" t="inlineStr">
        <is>
          <t>CRITICAL</t>
        </is>
      </c>
    </row>
    <row r="7" ht="14" customHeight="1">
      <c r="A7" s="17" t="inlineStr">
        <is>
          <t>Need your decision</t>
        </is>
      </c>
      <c r="B7" s="18" t="n"/>
      <c r="C7" s="17" t="inlineStr">
        <is>
          <t>Being prepared</t>
        </is>
      </c>
      <c r="D7" s="18" t="n"/>
      <c r="E7" s="17" t="inlineStr">
        <is>
          <t>On the calendar</t>
        </is>
      </c>
      <c r="F7" s="18" t="n"/>
      <c r="G7" s="17" t="inlineStr">
        <is>
          <t>Delivered</t>
        </is>
      </c>
      <c r="H7" s="18" t="n"/>
      <c r="I7" s="19" t="inlineStr">
        <is>
          <t>Needs immediate action</t>
        </is>
      </c>
    </row>
    <row r="9" ht="5" customHeight="1">
      <c r="A9" s="20" t="n"/>
      <c r="B9" s="21" t="n"/>
      <c r="C9" s="4" t="n"/>
    </row>
    <row r="10" ht="34" customHeight="1">
      <c r="A10" s="22">
        <f>IFS(COUNTIF(D:D,"Critical")&gt;0,"Critical",COUNTIF(D:D,"High")&gt;0,"High",COUNTIF(D:D,"Medium")&gt;0,"Medium",COUNTIF(D:D,"Low")&gt;0,"Low",TRUE,"No priority set")</f>
        <v/>
      </c>
      <c r="B10" s="23" t="n"/>
      <c r="C10" s="10" t="n"/>
    </row>
    <row r="11" ht="15" customHeight="1">
      <c r="A11" s="15" t="inlineStr">
        <is>
          <t>TOP PRIORITY</t>
        </is>
      </c>
      <c r="B11" s="23" t="n"/>
      <c r="C11" s="10" t="n"/>
    </row>
    <row r="12" ht="14" customHeight="1">
      <c r="A12" s="17" t="inlineStr">
        <is>
          <t>Highest in the queue right now</t>
        </is>
      </c>
      <c r="B12" s="24" t="n"/>
      <c r="C12" s="18" t="n"/>
    </row>
    <row r="15" ht="22" customHeight="1">
      <c r="A15" s="25" t="inlineStr">
        <is>
          <t>Request</t>
        </is>
      </c>
      <c r="B15" s="25" t="inlineStr">
        <is>
          <t>Requester</t>
        </is>
      </c>
      <c r="C15" s="25" t="inlineStr">
        <is>
          <t>Application(s)</t>
        </is>
      </c>
      <c r="D15" s="25" t="inlineStr">
        <is>
          <t>Priority</t>
        </is>
      </c>
      <c r="E15" s="25" t="inlineStr">
        <is>
          <t>Status</t>
        </is>
      </c>
      <c r="F15" s="25" t="inlineStr">
        <is>
          <t>Jira #</t>
        </is>
      </c>
      <c r="G15" s="25" t="inlineStr">
        <is>
          <t>Sprint</t>
        </is>
      </c>
      <c r="H15" s="25" t="inlineStr">
        <is>
          <t>Submitted</t>
        </is>
      </c>
      <c r="I15" s="25" t="inlineStr">
        <is>
          <t>Notes</t>
        </is>
      </c>
    </row>
    <row r="16" ht="22" customHeight="1">
      <c r="A16" s="26" t="inlineStr">
        <is>
          <t>Agent — Screen Pop Customization</t>
        </is>
      </c>
      <c r="B16" s="27" t="inlineStr">
        <is>
          <t>Sarah M.</t>
        </is>
      </c>
      <c r="C16" s="27" t="inlineStr">
        <is>
          <t>Agent</t>
        </is>
      </c>
      <c r="D16" s="28" t="inlineStr">
        <is>
          <t>High</t>
        </is>
      </c>
      <c r="E16" s="28" t="inlineStr">
        <is>
          <t>Scheduled</t>
        </is>
      </c>
      <c r="F16" s="27" t="inlineStr">
        <is>
          <t>DEMO-482</t>
        </is>
      </c>
      <c r="G16" s="27" t="inlineStr">
        <is>
          <t>Sprint 44</t>
        </is>
      </c>
      <c r="H16" s="27" t="inlineStr">
        <is>
          <t>May 2</t>
        </is>
      </c>
    </row>
    <row r="17" ht="22" customHeight="1">
      <c r="A17" s="26" t="inlineStr">
        <is>
          <t>WFM — Real-Time Adherence Dashboard</t>
        </is>
      </c>
      <c r="B17" s="27" t="inlineStr">
        <is>
          <t>James T.</t>
        </is>
      </c>
      <c r="C17" s="27" t="inlineStr">
        <is>
          <t>WFM, Supervisor</t>
        </is>
      </c>
      <c r="D17" s="28" t="inlineStr">
        <is>
          <t>Critical</t>
        </is>
      </c>
      <c r="E17" s="28" t="inlineStr">
        <is>
          <t>In Progress</t>
        </is>
      </c>
      <c r="F17" s="27" t="inlineStr">
        <is>
          <t>DEMO-479</t>
        </is>
      </c>
      <c r="G17" s="27" t="inlineStr">
        <is>
          <t>Sprint 44</t>
        </is>
      </c>
      <c r="H17" s="27" t="inlineStr">
        <is>
          <t>Apr 30</t>
        </is>
      </c>
    </row>
    <row r="18" ht="22" customHeight="1">
      <c r="A18" s="26" t="inlineStr">
        <is>
          <t>QM — AI Evaluation Scorecard</t>
        </is>
      </c>
      <c r="B18" s="27" t="inlineStr">
        <is>
          <t>Priya K.</t>
        </is>
      </c>
      <c r="C18" s="27" t="inlineStr">
        <is>
          <t>Quality Management</t>
        </is>
      </c>
      <c r="D18" s="28" t="inlineStr">
        <is>
          <t>Medium</t>
        </is>
      </c>
      <c r="E18" s="28" t="inlineStr">
        <is>
          <t>Approved</t>
        </is>
      </c>
      <c r="F18" s="27" t="inlineStr">
        <is>
          <t>DEMO-491</t>
        </is>
      </c>
      <c r="G18" s="27" t="inlineStr">
        <is>
          <t>Sprint 45</t>
        </is>
      </c>
      <c r="H18" s="27" t="inlineStr">
        <is>
          <t>May 4</t>
        </is>
      </c>
    </row>
    <row r="19" ht="22" customHeight="1">
      <c r="A19" s="26" t="inlineStr">
        <is>
          <t>Supervisor — Live Monitoring Panel</t>
        </is>
      </c>
      <c r="B19" s="27" t="inlineStr">
        <is>
          <t>Marcus L.</t>
        </is>
      </c>
      <c r="C19" s="27" t="inlineStr">
        <is>
          <t>Supervisor</t>
        </is>
      </c>
      <c r="D19" s="28" t="inlineStr">
        <is>
          <t>High</t>
        </is>
      </c>
      <c r="E19" s="28" t="inlineStr">
        <is>
          <t>In Review</t>
        </is>
      </c>
      <c r="F19" s="27" t="inlineStr">
        <is>
          <t>—</t>
        </is>
      </c>
      <c r="G19" s="27" t="inlineStr">
        <is>
          <t>—</t>
        </is>
      </c>
      <c r="H19" s="27" t="inlineStr">
        <is>
          <t>May 5</t>
        </is>
      </c>
    </row>
    <row r="20" ht="22" customHeight="1">
      <c r="A20" s="26" t="inlineStr">
        <is>
          <t>Interactions Hub — Recording Playback</t>
        </is>
      </c>
      <c r="B20" s="27" t="inlineStr">
        <is>
          <t>Dana W.</t>
        </is>
      </c>
      <c r="C20" s="27" t="inlineStr">
        <is>
          <t>Interactions Hub</t>
        </is>
      </c>
      <c r="D20" s="28" t="inlineStr">
        <is>
          <t>Low</t>
        </is>
      </c>
      <c r="E20" s="28" t="inlineStr">
        <is>
          <t>New</t>
        </is>
      </c>
      <c r="F20" s="27" t="inlineStr">
        <is>
          <t>—</t>
        </is>
      </c>
      <c r="G20" s="27" t="inlineStr">
        <is>
          <t>—</t>
        </is>
      </c>
      <c r="H20" s="27" t="inlineStr">
        <is>
          <t>May 6</t>
        </is>
      </c>
    </row>
    <row r="21" ht="22" customHeight="1">
      <c r="A21" s="26" t="inlineStr">
        <is>
          <t>Smart Reach — Campaign Builder Flow</t>
        </is>
      </c>
      <c r="B21" s="27" t="inlineStr">
        <is>
          <t>Jordan B.</t>
        </is>
      </c>
      <c r="C21" s="27" t="inlineStr">
        <is>
          <t>Smart Reach</t>
        </is>
      </c>
      <c r="D21" s="28" t="inlineStr">
        <is>
          <t>High</t>
        </is>
      </c>
      <c r="E21" s="28" t="inlineStr">
        <is>
          <t>Completed</t>
        </is>
      </c>
      <c r="F21" s="27" t="inlineStr">
        <is>
          <t>DEMO-465</t>
        </is>
      </c>
      <c r="G21" s="27" t="inlineStr">
        <is>
          <t>Sprint 43</t>
        </is>
      </c>
      <c r="H21" s="27" t="inlineStr">
        <is>
          <t>Apr 22</t>
        </is>
      </c>
    </row>
    <row r="22" ht="22" customHeight="1">
      <c r="A22" s="26" t="inlineStr">
        <is>
          <t>My Zone — Schedule Visibility</t>
        </is>
      </c>
      <c r="B22" s="27" t="inlineStr">
        <is>
          <t>Sarah M.</t>
        </is>
      </c>
      <c r="C22" s="27" t="inlineStr">
        <is>
          <t>My Zone</t>
        </is>
      </c>
      <c r="D22" s="28" t="inlineStr">
        <is>
          <t>Medium</t>
        </is>
      </c>
      <c r="E22" s="28" t="inlineStr">
        <is>
          <t>New</t>
        </is>
      </c>
      <c r="F22" s="27" t="inlineStr">
        <is>
          <t>—</t>
        </is>
      </c>
      <c r="G22" s="27" t="inlineStr">
        <is>
          <t>—</t>
        </is>
      </c>
      <c r="H22" s="27" t="inlineStr">
        <is>
          <t>May 6</t>
        </is>
      </c>
    </row>
    <row r="23" ht="22" customHeight="1">
      <c r="A23" s="26" t="inlineStr">
        <is>
          <t>Agent — After Call Work Timer</t>
        </is>
      </c>
      <c r="B23" s="27" t="inlineStr">
        <is>
          <t>Priya K.</t>
        </is>
      </c>
      <c r="C23" s="27" t="inlineStr">
        <is>
          <t>Agent</t>
        </is>
      </c>
      <c r="D23" s="28" t="inlineStr">
        <is>
          <t>Medium</t>
        </is>
      </c>
      <c r="E23" s="28" t="inlineStr">
        <is>
          <t>New</t>
        </is>
      </c>
      <c r="F23" s="27" t="inlineStr">
        <is>
          <t>—</t>
        </is>
      </c>
      <c r="G23" s="27" t="inlineStr">
        <is>
          <t>—</t>
        </is>
      </c>
      <c r="H23" s="27" t="inlineStr">
        <is>
          <t>May 6</t>
        </is>
      </c>
    </row>
    <row r="24" ht="20" customHeight="1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</row>
    <row r="25" ht="20" customHeight="1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 ht="20" customHeight="1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</row>
    <row r="27" ht="20" customHeight="1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</row>
    <row r="28" ht="20" customHeight="1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</row>
    <row r="29" ht="20" customHeight="1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 ht="20" customHeight="1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</row>
    <row r="31" ht="20" customHeight="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</row>
    <row r="32" ht="20" customHeight="1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 ht="20" customHeight="1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 ht="20" customHeight="1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 ht="20" customHeight="1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</row>
    <row r="36" ht="20" customHeight="1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</row>
    <row r="37" ht="20" customHeight="1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</row>
    <row r="38" ht="20" customHeight="1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</row>
    <row r="39" ht="20" customHeight="1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</row>
    <row r="40" ht="20" customHeight="1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</row>
    <row r="41" ht="20" customHeight="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</row>
    <row r="42" ht="20" customHeight="1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</row>
    <row r="43" ht="20" customHeight="1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</row>
    <row r="44" ht="20" customHeight="1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</row>
    <row r="45" ht="20" customHeight="1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</row>
    <row r="46" ht="20" customHeight="1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</row>
    <row r="47" ht="20" customHeight="1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</row>
    <row r="48" ht="20" customHeight="1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</row>
    <row r="49" ht="20" customHeight="1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</row>
    <row r="50" ht="20" customHeight="1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</row>
    <row r="51" ht="20" customHeight="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</row>
    <row r="52" ht="20" customHeight="1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</row>
    <row r="53" ht="20" customHeight="1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</row>
    <row r="54" ht="20" customHeight="1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</row>
    <row r="55" ht="20" customHeight="1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</row>
    <row r="56" ht="20" customHeight="1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</row>
    <row r="57" ht="20" customHeight="1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</row>
    <row r="58" ht="20" customHeight="1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</row>
    <row r="59" ht="20" customHeight="1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</row>
    <row r="60" ht="20" customHeight="1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</row>
    <row r="61" ht="20" customHeight="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</row>
    <row r="62" ht="20" customHeight="1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</row>
    <row r="63" ht="20" customHeight="1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</row>
    <row r="64" ht="20" customHeight="1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</row>
    <row r="65" ht="20" customHeight="1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</row>
    <row r="66" ht="20" customHeight="1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 ht="20" customHeight="1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</row>
    <row r="68" ht="20" customHeight="1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</row>
    <row r="69" ht="20" customHeight="1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</row>
    <row r="70" ht="20" customHeight="1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</row>
    <row r="71" ht="20" customHeight="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</row>
    <row r="72" ht="20" customHeight="1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</row>
    <row r="73" ht="20" customHeight="1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</row>
    <row r="74" ht="20" customHeight="1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</row>
    <row r="75" ht="20" customHeight="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 ht="20" customHeight="1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</row>
  </sheetData>
  <autoFilter ref="A15:I76"/>
  <mergeCells count="26">
    <mergeCell ref="I5"/>
    <mergeCell ref="C6:D6"/>
    <mergeCell ref="I4"/>
    <mergeCell ref="C5:D5"/>
    <mergeCell ref="E5:F5"/>
    <mergeCell ref="A12:C12"/>
    <mergeCell ref="A6:B6"/>
    <mergeCell ref="C4:D4"/>
    <mergeCell ref="E4:F4"/>
    <mergeCell ref="A2:I2"/>
    <mergeCell ref="A7:B7"/>
    <mergeCell ref="G7:H7"/>
    <mergeCell ref="I6"/>
    <mergeCell ref="G6:H6"/>
    <mergeCell ref="A10:C10"/>
    <mergeCell ref="E6:F6"/>
    <mergeCell ref="A5:B5"/>
    <mergeCell ref="G5:H5"/>
    <mergeCell ref="A9:C9"/>
    <mergeCell ref="I7"/>
    <mergeCell ref="A4:B4"/>
    <mergeCell ref="G4:H4"/>
    <mergeCell ref="A11:C11"/>
    <mergeCell ref="C7:D7"/>
    <mergeCell ref="E7:F7"/>
    <mergeCell ref="A1:I1"/>
  </mergeCells>
  <conditionalFormatting sqref="A10:C1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D16:D76">
    <cfRule type="cellIs" priority="5" operator="equal" dxfId="4">
      <formula>"Critical"</formula>
    </cfRule>
    <cfRule type="cellIs" priority="6" operator="equal" dxfId="5">
      <formula>"High"</formula>
    </cfRule>
    <cfRule type="cellIs" priority="7" operator="equal" dxfId="6">
      <formula>"Medium"</formula>
    </cfRule>
    <cfRule type="cellIs" priority="8" operator="equal" dxfId="7">
      <formula>"Low"</formula>
    </cfRule>
  </conditionalFormatting>
  <conditionalFormatting sqref="E16:E76">
    <cfRule type="cellIs" priority="9" operator="equal" dxfId="8">
      <formula>"New"</formula>
    </cfRule>
    <cfRule type="cellIs" priority="10" operator="equal" dxfId="9">
      <formula>"In Review"</formula>
    </cfRule>
    <cfRule type="cellIs" priority="11" operator="equal" dxfId="10">
      <formula>"Approved"</formula>
    </cfRule>
    <cfRule type="cellIs" priority="12" operator="equal" dxfId="11">
      <formula>"Scheduled"</formula>
    </cfRule>
    <cfRule type="cellIs" priority="13" operator="equal" dxfId="12">
      <formula>"In Progress"</formula>
    </cfRule>
    <cfRule type="cellIs" priority="14" operator="equal" dxfId="13">
      <formula>"Completed"</formula>
    </cfRule>
    <cfRule type="cellIs" priority="15" operator="equal" dxfId="14">
      <formula>"Blocked"</formula>
    </cfRule>
    <cfRule type="cellIs" priority="16" operator="equal" dxfId="15">
      <formula>"Rejected"</formula>
    </cfRule>
  </conditionalFormatting>
  <dataValidations count="2">
    <dataValidation sqref="D16:D76" showDropDown="0" showInputMessage="0" showErrorMessage="0" allowBlank="1" type="list">
      <formula1>"Critical,High,Medium,Low"</formula1>
    </dataValidation>
    <dataValidation sqref="E16:E76" showDropDown="0" showInputMessage="0" showErrorMessage="0" allowBlank="1" type="list">
      <formula1>"New,In Review,Approved,Scheduled,In Progress,Completed,Blocked,Rejected"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2026-06-10T17:31:17Z</dcterms:created>
  <dcterms:modified xsi:type="dcterms:W3CDTF">2026-06-10T17:31:17Z</dcterms:modified>
</cp:coreProperties>
</file>